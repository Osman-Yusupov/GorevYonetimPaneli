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Osman\Desktop\"/>
    </mc:Choice>
  </mc:AlternateContent>
  <xr:revisionPtr revIDLastSave="0" documentId="13_ncr:1_{65DC5A63-4545-4EEF-BF7F-EA9697C47A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1" r:id="rId1"/>
    <sheet name="Görevler" sheetId="2" r:id="rId2"/>
    <sheet name="Ayarlar" sheetId="3" r:id="rId3"/>
  </sheets>
  <definedNames>
    <definedName name="Dilimleyici_Dönem">#N/A</definedName>
    <definedName name="Dilimleyici_Durum">#N/A</definedName>
    <definedName name="Dilimleyici_Önem_Derecesi">#N/A</definedName>
    <definedName name="Dilimleyici_Yıl">#N/A</definedName>
    <definedName name="ListeDonem">Ayarlar!$A$2:$A$5</definedName>
    <definedName name="ListeDurum">Ayarlar!$D$2:$D$7</definedName>
    <definedName name="ListeOnem">Ayarlar!$C$2:$C$5</definedName>
    <definedName name="ListePersonel">Ayarlar!$E$2:$E$6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C6" i="2"/>
  <c r="D6" i="2"/>
  <c r="K6" i="2"/>
  <c r="O6" i="2"/>
  <c r="A5" i="2"/>
  <c r="C5" i="2"/>
  <c r="D5" i="2"/>
  <c r="K5" i="2"/>
  <c r="O5" i="2"/>
  <c r="A3" i="2"/>
  <c r="A4" i="2"/>
  <c r="C4" i="2"/>
  <c r="D4" i="2"/>
  <c r="K4" i="2"/>
  <c r="O4" i="2"/>
  <c r="O3" i="2"/>
  <c r="K2" i="2"/>
  <c r="K3" i="2"/>
  <c r="D2" i="2"/>
  <c r="D3" i="2"/>
  <c r="C2" i="2"/>
  <c r="C3" i="2"/>
  <c r="O2" i="2"/>
  <c r="A2" i="2"/>
  <c r="S26" i="1" a="1"/>
  <c r="S26" i="1" s="1"/>
  <c r="Q26" i="1" a="1"/>
  <c r="Q26" i="1" s="1"/>
  <c r="O26" i="1" a="1"/>
  <c r="O26" i="1" s="1"/>
  <c r="M26" i="1" a="1"/>
  <c r="M26" i="1" s="1"/>
  <c r="S23" i="1" a="1"/>
  <c r="S23" i="1" s="1"/>
  <c r="Q23" i="1" a="1"/>
  <c r="Q23" i="1" s="1"/>
  <c r="O23" i="1" a="1"/>
  <c r="O23" i="1" s="1"/>
  <c r="M23" i="1" a="1"/>
  <c r="M23" i="1" s="1"/>
  <c r="K23" i="1"/>
  <c r="K22" i="1"/>
  <c r="K21" i="1"/>
  <c r="S20" i="1" a="1"/>
  <c r="S20" i="1" s="1"/>
  <c r="Q20" i="1" a="1"/>
  <c r="Q20" i="1" s="1"/>
  <c r="O20" i="1" a="1"/>
  <c r="O20" i="1" s="1"/>
  <c r="M20" i="1" a="1"/>
  <c r="M20" i="1" s="1"/>
  <c r="K20" i="1"/>
  <c r="S17" i="1" a="1"/>
  <c r="S17" i="1" s="1"/>
  <c r="Q17" i="1" a="1"/>
  <c r="Q17" i="1" s="1"/>
  <c r="O17" i="1" a="1"/>
  <c r="O17" i="1" s="1"/>
  <c r="M17" i="1" a="1"/>
  <c r="M17" i="1" s="1"/>
  <c r="K15" i="1"/>
  <c r="S14" i="1" a="1"/>
  <c r="S14" i="1" s="1"/>
  <c r="Q14" i="1" a="1"/>
  <c r="Q14" i="1" s="1"/>
  <c r="O14" i="1" a="1"/>
  <c r="O14" i="1" s="1"/>
  <c r="M14" i="1" a="1"/>
  <c r="M14" i="1" s="1"/>
  <c r="K14" i="1"/>
  <c r="K13" i="1"/>
  <c r="K12" i="1"/>
  <c r="S11" i="1" a="1"/>
  <c r="S11" i="1" s="1"/>
  <c r="Q11" i="1" a="1"/>
  <c r="Q11" i="1" s="1"/>
  <c r="O11" i="1" a="1"/>
  <c r="O11" i="1" s="1"/>
  <c r="M11" i="1" a="1"/>
  <c r="M11" i="1" s="1"/>
  <c r="K11" i="1"/>
  <c r="K10" i="1"/>
  <c r="F6" i="1"/>
  <c r="D6" i="1"/>
  <c r="B6" i="1"/>
  <c r="J6" i="1" l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Pc-1</author>
  </authors>
  <commentList>
    <comment ref="A1" authorId="0" shapeId="0" xr:uid="{09722484-D551-467C-AB56-C0E713B97BA2}">
      <text>
        <r>
          <rPr>
            <b/>
            <sz val="9"/>
            <color indexed="81"/>
            <rFont val="Tahoma"/>
            <family val="2"/>
            <charset val="162"/>
          </rPr>
          <t>Sıra ID</t>
        </r>
      </text>
    </comment>
    <comment ref="B1" authorId="0" shapeId="0" xr:uid="{2954A998-C79E-4E92-8F4E-7CDA8CD287FA}">
      <text>
        <r>
          <rPr>
            <b/>
            <sz val="9"/>
            <color indexed="81"/>
            <rFont val="Tahoma"/>
            <family val="2"/>
            <charset val="162"/>
          </rPr>
          <t>Dönem Manuel
Giriş(İstege Bağlı). Açılır Listeden Seçilir</t>
        </r>
      </text>
    </comment>
    <comment ref="C1" authorId="0" shapeId="0" xr:uid="{5E09DD32-6D09-46A7-A42E-AD240B0FCE41}">
      <text>
        <r>
          <rPr>
            <b/>
            <sz val="9"/>
            <color indexed="81"/>
            <rFont val="Tahoma"/>
            <family val="2"/>
            <charset val="162"/>
          </rPr>
          <t>Dönem Dinamik
Başlanğıç Tarihten Alır</t>
        </r>
      </text>
    </comment>
    <comment ref="D1" authorId="0" shapeId="0" xr:uid="{498CDE99-6CF8-4ACE-A94B-6021F9135759}">
      <text>
        <r>
          <rPr>
            <b/>
            <sz val="9"/>
            <color indexed="81"/>
            <rFont val="Tahoma"/>
            <family val="2"/>
            <charset val="162"/>
          </rPr>
          <t>Yıl Dinamik
Kayıt Tarihinden Alır</t>
        </r>
      </text>
    </comment>
    <comment ref="E1" authorId="0" shapeId="0" xr:uid="{81E95601-2B27-4860-B822-206264B60B64}">
      <text>
        <r>
          <rPr>
            <b/>
            <sz val="9"/>
            <color indexed="81"/>
            <rFont val="Tahoma"/>
            <family val="2"/>
            <charset val="162"/>
          </rPr>
          <t>Görev Adı
Manuel Giriş Yapılır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F1" authorId="0" shapeId="0" xr:uid="{6C453D63-D834-4AD5-983B-4EA6909885A5}">
      <text>
        <r>
          <rPr>
            <b/>
            <sz val="9"/>
            <color indexed="81"/>
            <rFont val="Tahoma"/>
            <family val="2"/>
            <charset val="162"/>
          </rPr>
          <t>Açıklama
Manuel Giriş Yapılır</t>
        </r>
      </text>
    </comment>
    <comment ref="G1" authorId="0" shapeId="0" xr:uid="{B63E61CA-4DED-4761-A1C8-DF59446B3BBC}">
      <text>
        <r>
          <rPr>
            <sz val="9"/>
            <color indexed="81"/>
            <rFont val="Tahoma"/>
            <family val="2"/>
            <charset val="162"/>
          </rPr>
          <t xml:space="preserve">Sorumlu
Açılır Listeden Seçilir
</t>
        </r>
      </text>
    </comment>
    <comment ref="H1" authorId="0" shapeId="0" xr:uid="{6263DD92-61A3-4883-AB30-1CD10CDCEEDE}">
      <text>
        <r>
          <rPr>
            <b/>
            <sz val="9"/>
            <color indexed="81"/>
            <rFont val="Tahoma"/>
            <family val="2"/>
            <charset val="162"/>
          </rPr>
          <t>Kayıt Tarihi
Manuel Giriş Yapılır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I1" authorId="0" shapeId="0" xr:uid="{66DFF487-3F73-4417-99AB-9CCBF9DACCAD}">
      <text>
        <r>
          <rPr>
            <b/>
            <sz val="9"/>
            <color indexed="81"/>
            <rFont val="Tahoma"/>
            <family val="2"/>
            <charset val="162"/>
          </rPr>
          <t>Başlanğıç Tarih
Manuel Giriş Yapılır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J1" authorId="0" shapeId="0" xr:uid="{8EC86DE5-BA7E-4A10-A1DE-3E5FA56C5BDB}">
      <text>
        <r>
          <rPr>
            <b/>
            <sz val="9"/>
            <color indexed="81"/>
            <rFont val="Tahoma"/>
            <family val="2"/>
            <charset val="162"/>
          </rPr>
          <t>Bitiş Tarihi
Manuel Giriş Yapılır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K1" authorId="0" shapeId="0" xr:uid="{3F7D7DFD-C421-4B06-9071-86F132EFF207}">
      <text>
        <r>
          <rPr>
            <b/>
            <sz val="9"/>
            <color indexed="81"/>
            <rFont val="Tahoma"/>
            <family val="2"/>
            <charset val="162"/>
          </rPr>
          <t>Bu Sutün ise
Bitiş Tarihi, Durum Sutün ile Bağlı Çalışır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L1" authorId="0" shapeId="0" xr:uid="{50D1FB86-2A1D-4F4D-B33C-C8268766F813}">
      <text>
        <r>
          <rPr>
            <b/>
            <sz val="9"/>
            <color indexed="81"/>
            <rFont val="Tahoma"/>
            <family val="2"/>
            <charset val="162"/>
          </rPr>
          <t>Önem Derecesi
Açılır Listeden Seçilir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M1" authorId="0" shapeId="0" xr:uid="{80B4C6BA-CD22-4528-A5BE-EB7DB7023CCB}">
      <text>
        <r>
          <rPr>
            <b/>
            <sz val="9"/>
            <color indexed="81"/>
            <rFont val="Tahoma"/>
            <family val="2"/>
            <charset val="162"/>
          </rPr>
          <t>Durum
Açılır Listeden Seçilir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N1" authorId="0" shapeId="0" xr:uid="{D3191DC2-9307-40C9-965D-50198ECD2E79}">
      <text>
        <r>
          <rPr>
            <b/>
            <sz val="9"/>
            <color indexed="81"/>
            <rFont val="Tahoma"/>
            <family val="2"/>
            <charset val="162"/>
          </rPr>
          <t>İlerleme Durumu
0-10 arasında manuel değer girilir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O1" authorId="0" shapeId="0" xr:uid="{197E12BF-EE5C-4B82-B717-CF3379BE6245}">
      <text>
        <r>
          <rPr>
            <b/>
            <sz val="9"/>
            <color indexed="81"/>
            <rFont val="Tahoma"/>
            <family val="2"/>
            <charset val="162"/>
          </rPr>
          <t>Bu Sutün ise
İlerleme Durumuna girilen sayıya göre çalışır</t>
        </r>
      </text>
    </comment>
  </commentList>
</comments>
</file>

<file path=xl/sharedStrings.xml><?xml version="1.0" encoding="utf-8"?>
<sst xmlns="http://schemas.openxmlformats.org/spreadsheetml/2006/main" count="111" uniqueCount="58">
  <si>
    <t>GÖREV YÖNETİM PANELİ</t>
  </si>
  <si>
    <t>Genel</t>
  </si>
  <si>
    <t>TOPLAM GÖREV</t>
  </si>
  <si>
    <t>TAMAMLANAN</t>
  </si>
  <si>
    <t>DEVAM EDEN</t>
  </si>
  <si>
    <t>KALAN GÖREV</t>
  </si>
  <si>
    <t>% TAMAMLANDI</t>
  </si>
  <si>
    <t>Genel Tablo</t>
  </si>
  <si>
    <t>Önem Derecesi ve Durum Kriterlerine Göre Özet</t>
  </si>
  <si>
    <t>Durum</t>
  </si>
  <si>
    <t>Adet</t>
  </si>
  <si>
    <t>Kritik</t>
  </si>
  <si>
    <t>Yüksek</t>
  </si>
  <si>
    <t>Orta</t>
  </si>
  <si>
    <t>Düşük</t>
  </si>
  <si>
    <t>Başlanmadı</t>
  </si>
  <si>
    <t>TAMAMLANDI</t>
  </si>
  <si>
    <t>Devam Ediyor</t>
  </si>
  <si>
    <t>Beklemede</t>
  </si>
  <si>
    <t>Tamamlandı</t>
  </si>
  <si>
    <t>BAŞLANMADI</t>
  </si>
  <si>
    <t>Yeni Siparişde</t>
  </si>
  <si>
    <t>İptal</t>
  </si>
  <si>
    <t>BEKLEMEDE</t>
  </si>
  <si>
    <t>Önem</t>
  </si>
  <si>
    <t>DEVAM EDİYOR</t>
  </si>
  <si>
    <t>YENİ SİPARİŞDE</t>
  </si>
  <si>
    <t>İPTAL</t>
  </si>
  <si>
    <t>ID</t>
  </si>
  <si>
    <t>Dönem
Manuel</t>
  </si>
  <si>
    <t>Dönem
Dinamik</t>
  </si>
  <si>
    <t>Yıl</t>
  </si>
  <si>
    <t>Görev Adı</t>
  </si>
  <si>
    <t>Açıklama</t>
  </si>
  <si>
    <t>Sorumlu</t>
  </si>
  <si>
    <t>Kayıt Tarihi</t>
  </si>
  <si>
    <t>Başlangıç Tarihi</t>
  </si>
  <si>
    <t>Bitiş Tarihi</t>
  </si>
  <si>
    <t>Hedefe Kalan
Geciken Gün</t>
  </si>
  <si>
    <t>Önem Derecesi</t>
  </si>
  <si>
    <t>İlerleme
Durumu</t>
  </si>
  <si>
    <t>İlerleme Çubuk
%</t>
  </si>
  <si>
    <t>4. Çeyrek</t>
  </si>
  <si>
    <t>1. Çeyrek</t>
  </si>
  <si>
    <t>2. Çeyrek</t>
  </si>
  <si>
    <t>3. Çeyrek</t>
  </si>
  <si>
    <t>Dönemler</t>
  </si>
  <si>
    <t>Dönem Aralığı</t>
  </si>
  <si>
    <t>Personel</t>
  </si>
  <si>
    <t>Ocak, Şubat, Mart</t>
  </si>
  <si>
    <t>Nisan, Mayıs, Haziran</t>
  </si>
  <si>
    <t>Temmuz, Ağustos, Eylül</t>
  </si>
  <si>
    <t>Ekim, Kasım, Aralık</t>
  </si>
  <si>
    <t>Görev 1</t>
  </si>
  <si>
    <t>Personel-1</t>
  </si>
  <si>
    <t>Görev 2</t>
  </si>
  <si>
    <t>Personel-2</t>
  </si>
  <si>
    <t>Görev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</si>
</sst>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%0"/>
    <numFmt numFmtId="165" formatCode="dd/mm/yyyy"/>
  </numFmts>
  <fonts count="12" x14ac:knownFonts="1">
    <font>
      <sz val="11"/>
      <color theme="1"/>
      <name val="Calibri"/>
    </font>
    <font>
      <b/>
      <sz val="22"/>
      <color rgb="FF323232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1"/>
      <color rgb="FF646464"/>
      <name val="Calibri"/>
      <family val="2"/>
      <charset val="162"/>
    </font>
    <font>
      <b/>
      <sz val="20"/>
      <color rgb="FF0070C0"/>
      <name val="Calibri"/>
      <family val="2"/>
      <charset val="162"/>
    </font>
    <font>
      <b/>
      <sz val="12"/>
      <color theme="1"/>
      <name val="Calibri"/>
      <family val="2"/>
      <charset val="162"/>
    </font>
    <font>
      <b/>
      <sz val="16"/>
      <color rgb="FF0070C0"/>
      <name val="Calibri"/>
      <family val="2"/>
      <charset val="162"/>
    </font>
    <font>
      <sz val="12"/>
      <color theme="1"/>
      <name val="Calibri"/>
      <family val="2"/>
      <charset val="162"/>
    </font>
    <font>
      <b/>
      <sz val="11"/>
      <color indexed="65"/>
      <name val="Calibri"/>
      <family val="2"/>
      <charset val="162"/>
    </font>
    <font>
      <sz val="11"/>
      <color theme="1"/>
      <name val="Calibri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rgb="FFF0F0F0"/>
      </patternFill>
    </fill>
    <fill>
      <patternFill patternType="solid">
        <fgColor rgb="FFF0F0F0"/>
        <bgColor rgb="FFF2F2F2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404040"/>
        <bgColor rgb="FF3232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9" fillId="0" borderId="0" applyBorder="0" applyProtection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1" applyFont="1" applyFill="1" applyAlignment="1" applyProtection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64" fontId="9" fillId="0" borderId="0" xfId="1" applyAlignment="1" applyProtection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0" xfId="1" applyFont="1" applyAlignment="1" applyProtection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8" fillId="5" borderId="0" xfId="0" applyFont="1" applyFill="1"/>
    <xf numFmtId="0" fontId="9" fillId="0" borderId="0" xfId="0" applyFont="1" applyAlignment="1">
      <alignment horizontal="left" vertical="center" wrapText="1"/>
    </xf>
    <xf numFmtId="0" fontId="9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2">
    <cellStyle name="Normal" xfId="0" builtinId="0"/>
    <cellStyle name="Yüzde" xfId="1" builtinId="5"/>
  </cellStyles>
  <dxfs count="20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5D5D"/>
          <bgColor rgb="FFFF5D5D"/>
        </patternFill>
      </fill>
    </dxf>
    <dxf>
      <font>
        <sz val="11"/>
        <color indexed="64"/>
        <name val="Calibri"/>
      </font>
      <alignment vertical="bottom" textRotation="0" wrapText="0" relativeIndent="0" shrinkToFit="0"/>
    </dxf>
    <dxf>
      <fill>
        <patternFill patternType="solid">
          <fgColor rgb="FFFFC000"/>
          <bgColor rgb="FFFFC000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842DCB18-2B39-4D76-B04A-F862F56743BB}"/>
  </tableStyles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lang="tr-TR" sz="1800" b="1" u="none" strike="noStrike">
                <a:solidFill>
                  <a:srgbClr val="000000"/>
                </a:solidFill>
                <a:latin typeface="Calibri"/>
                <a:ea typeface="Arial"/>
              </a:rPr>
              <a:t>Görev Durum Analizi</a:t>
            </a:r>
            <a:endParaRPr lang="tr-TR"/>
          </a:p>
        </c:rich>
      </c:tx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Dashboard!$K$9</c:f>
              <c:strCache>
                <c:ptCount val="1"/>
                <c:pt idx="0">
                  <c:v>Adet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Dashboard!$J$10:$J$14</c:f>
              <c:strCache>
                <c:ptCount val="5"/>
                <c:pt idx="0">
                  <c:v>Başlanmadı</c:v>
                </c:pt>
                <c:pt idx="1">
                  <c:v>Devam Ediyor</c:v>
                </c:pt>
                <c:pt idx="2">
                  <c:v>Beklemede</c:v>
                </c:pt>
                <c:pt idx="3">
                  <c:v>Tamamlandı</c:v>
                </c:pt>
                <c:pt idx="4">
                  <c:v>Yeni Siparişde</c:v>
                </c:pt>
              </c:strCache>
            </c:strRef>
          </c:cat>
          <c:val>
            <c:numRef>
              <c:f>Dashboard!$K$10:$K$14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C-4E73-892B-A47D6D1BA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9958"/>
        <c:axId val="77791784"/>
      </c:barChart>
      <c:catAx>
        <c:axId val="56199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prstGeom prst="rect">
            <a:avLst/>
          </a:prstGeom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  <a:ea typeface="Arial"/>
              </a:defRPr>
            </a:pPr>
            <a:endParaRPr lang="tr-TR"/>
          </a:p>
        </c:txPr>
        <c:crossAx val="77791784"/>
        <c:crosses val="autoZero"/>
        <c:auto val="1"/>
        <c:lblAlgn val="ctr"/>
        <c:lblOffset val="100"/>
        <c:noMultiLvlLbl val="0"/>
      </c:catAx>
      <c:valAx>
        <c:axId val="77791784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prstGeom prst="rect">
            <a:avLst/>
          </a:prstGeom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  <a:ea typeface="Arial"/>
              </a:defRPr>
            </a:pPr>
            <a:endParaRPr lang="tr-TR"/>
          </a:p>
        </c:txPr>
        <c:crossAx val="5619958"/>
        <c:crosses val="autoZero"/>
        <c:crossBetween val="between"/>
      </c:valAx>
      <c:spPr>
        <a:prstGeom prst="rect">
          <a:avLst/>
        </a:prstGeom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xfrm>
      <a:off x="0" y="0"/>
      <a:ext cx="0" cy="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lang="tr-TR" sz="1800" b="1" u="none" strike="noStrike">
                <a:solidFill>
                  <a:srgbClr val="000000"/>
                </a:solidFill>
                <a:latin typeface="Calibri"/>
                <a:ea typeface="Arial"/>
              </a:rPr>
              <a:t>Önem Derecesi Dağılımı</a:t>
            </a:r>
            <a:endParaRPr lang="tr-TR"/>
          </a:p>
        </c:rich>
      </c:tx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Dashboard!$K$19</c:f>
              <c:strCache>
                <c:ptCount val="1"/>
                <c:pt idx="0">
                  <c:v>Adet</c:v>
                </c:pt>
              </c:strCache>
            </c:strRef>
          </c:tx>
          <c:spPr>
            <a:prstGeom prst="rect">
              <a:avLst/>
            </a:prstGeom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1B9-4F95-9655-AC8C1808C438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91B9-4F95-9655-AC8C1808C438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rgbClr val="A5A5A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91B9-4F95-9655-AC8C1808C438}"/>
              </c:ext>
            </c:extLst>
          </c:dPt>
          <c:dPt>
            <c:idx val="3"/>
            <c:bubble3D val="0"/>
            <c:spPr>
              <a:prstGeom prst="rect">
                <a:avLst/>
              </a:prstGeom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91B9-4F95-9655-AC8C1808C43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latin typeface="Calibri"/>
                      <a:ea typeface="Arial"/>
                    </a:defRPr>
                  </a:pPr>
                  <a:endParaRPr lang="tr-T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B9-4F95-9655-AC8C1808C43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latin typeface="Calibri"/>
                      <a:ea typeface="Arial"/>
                    </a:defRPr>
                  </a:pPr>
                  <a:endParaRPr lang="tr-T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B9-4F95-9655-AC8C1808C43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latin typeface="Calibri"/>
                      <a:ea typeface="Arial"/>
                    </a:defRPr>
                  </a:pPr>
                  <a:endParaRPr lang="tr-T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B9-4F95-9655-AC8C1808C43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latin typeface="Calibri"/>
                      <a:ea typeface="Arial"/>
                    </a:defRPr>
                  </a:pPr>
                  <a:endParaRPr lang="tr-T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B9-4F95-9655-AC8C1808C4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prstGeom prst="rect">
                  <a:avLst/>
                </a:prstGeom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Dashboard!$J$20:$J$23</c:f>
              <c:strCache>
                <c:ptCount val="4"/>
                <c:pt idx="0">
                  <c:v>Düşük</c:v>
                </c:pt>
                <c:pt idx="1">
                  <c:v>Orta</c:v>
                </c:pt>
                <c:pt idx="2">
                  <c:v>Yüksek</c:v>
                </c:pt>
                <c:pt idx="3">
                  <c:v>Kritik</c:v>
                </c:pt>
              </c:strCache>
            </c:strRef>
          </c:cat>
          <c:val>
            <c:numRef>
              <c:f>Dashboard!$K$20:$K$23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B9-4F95-9655-AC8C1808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r"/>
      <c:overlay val="0"/>
      <c:spPr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latin typeface="Calibri"/>
              <a:ea typeface="Arial"/>
            </a:defRPr>
          </a:pPr>
          <a:endParaRPr lang="tr-TR"/>
        </a:p>
      </c:txPr>
    </c:legend>
    <c:plotVisOnly val="1"/>
    <c:dispBlanksAs val="gap"/>
    <c:showDLblsOverMax val="1"/>
  </c:chart>
  <c:spPr>
    <a:xfrm>
      <a:off x="0" y="0"/>
      <a:ext cx="0" cy="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7</xdr:row>
      <xdr:rowOff>94680</xdr:rowOff>
    </xdr:from>
    <xdr:to>
      <xdr:col>8</xdr:col>
      <xdr:colOff>301718</xdr:colOff>
      <xdr:row>18</xdr:row>
      <xdr:rowOff>29316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3240</xdr:colOff>
      <xdr:row>18</xdr:row>
      <xdr:rowOff>167760</xdr:rowOff>
    </xdr:from>
    <xdr:to>
      <xdr:col>8</xdr:col>
      <xdr:colOff>291278</xdr:colOff>
      <xdr:row>29</xdr:row>
      <xdr:rowOff>56596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Gorevler" displayName="TabloGorevler" ref="A1:O6" dataDxfId="19">
  <autoFilter ref="A1:O6" xr:uid="{00000000-0009-0000-0100-000001000000}"/>
  <tableColumns count="15">
    <tableColumn id="1" xr3:uid="{00000000-0010-0000-0000-000001000000}" name="ID" dataDxfId="18">
      <calculatedColumnFormula>ROW()-1</calculatedColumnFormula>
    </tableColumn>
    <tableColumn id="2" xr3:uid="{00000000-0010-0000-0000-000002000000}" name="Dönem_x000a_Manuel" dataDxfId="17"/>
    <tableColumn id="3" xr3:uid="{00000000-0010-0000-0000-000003000000}" name="Dönem_x000a_Dinamik" dataDxfId="16">
      <calculatedColumnFormula>IF(TabloGorevler[[#This Row],[Başlangıç Tarihi]]="","",ROUNDUP(MONTH(TabloGorevler[[#This Row],[Başlangıç Tarihi]])/3,0)&amp;".Dönem ("&amp;MONTH(TabloGorevler[[#This Row],[Başlangıç Tarihi]])&amp;".Ay)")</calculatedColumnFormula>
    </tableColumn>
    <tableColumn id="4" xr3:uid="{00000000-0010-0000-0000-000004000000}" name="Yıl" dataDxfId="15">
      <calculatedColumnFormula>IF(TabloGorevler[[#This Row],[Kayıt Tarihi]]="","",YEAR(TabloGorevler[[#This Row],[Kayıt Tarihi]]))</calculatedColumnFormula>
    </tableColumn>
    <tableColumn id="5" xr3:uid="{00000000-0010-0000-0000-000005000000}" name="Görev Adı" dataDxfId="14"/>
    <tableColumn id="6" xr3:uid="{00000000-0010-0000-0000-000006000000}" name="Açıklama" dataDxfId="13"/>
    <tableColumn id="7" xr3:uid="{00000000-0010-0000-0000-000007000000}" name="Sorumlu" dataDxfId="12"/>
    <tableColumn id="8" xr3:uid="{00000000-0010-0000-0000-000008000000}" name="Kayıt Tarihi" dataDxfId="11"/>
    <tableColumn id="9" xr3:uid="{00000000-0010-0000-0000-000009000000}" name="Başlangıç Tarihi" dataDxfId="10"/>
    <tableColumn id="10" xr3:uid="{00000000-0010-0000-0000-00000A000000}" name="Bitiş Tarihi" dataDxfId="9"/>
    <tableColumn id="11" xr3:uid="{00000000-0010-0000-0000-00000B000000}" name="Hedefe Kalan_x000a_Geciken Gün" dataDxfId="8">
      <calculatedColumnFormula>IF(TabloGorevler[[#This Row],[Durum]]="Tamamlandı","Hedefe Ulaşıldı",IF(TabloGorevler[[#This Row],[Bitiş Tarihi]]="","",IF(INT(TabloGorevler[[#This Row],[Bitiş Tarihi]])-TODAY()&lt;0,(INT(TabloGorevler[[#This Row],[Bitiş Tarihi]])-TODAY())&amp;" Gün Gecikti",(INT(TabloGorevler[[#This Row],[Bitiş Tarihi]])-TODAY())&amp;" Gün Kaldı")))</calculatedColumnFormula>
    </tableColumn>
    <tableColumn id="12" xr3:uid="{00000000-0010-0000-0000-00000C000000}" name="Önem Derecesi" dataDxfId="7"/>
    <tableColumn id="13" xr3:uid="{00000000-0010-0000-0000-00000D000000}" name="Durum" dataDxfId="6"/>
    <tableColumn id="14" xr3:uid="{00000000-0010-0000-0000-00000E000000}" name="İlerleme_x000a_Durumu" dataDxfId="5"/>
    <tableColumn id="15" xr3:uid="{00000000-0010-0000-0000-00000F000000}" name="İlerleme Çubuk_x000a_%" dataDxfId="4">
      <calculatedColumnFormula>MIN(1,TabloGorevler[[#This Row],[İlerleme
Durumu]]/10)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B2:S26"/>
  <sheetViews>
    <sheetView showGridLines="0" tabSelected="1" zoomScale="85" zoomScaleNormal="85" workbookViewId="0">
      <selection activeCell="W22" sqref="W22"/>
    </sheetView>
  </sheetViews>
  <sheetFormatPr defaultColWidth="8.7109375" defaultRowHeight="15" customHeight="1" x14ac:dyDescent="0.25"/>
  <cols>
    <col min="1" max="1" width="3.5703125" customWidth="1"/>
    <col min="6" max="6" width="9.85546875" customWidth="1"/>
    <col min="8" max="8" width="9.140625" customWidth="1"/>
    <col min="10" max="10" width="13.140625" customWidth="1"/>
    <col min="11" max="11" width="10.28515625" customWidth="1"/>
    <col min="12" max="12" width="6.5703125" customWidth="1"/>
    <col min="13" max="13" width="10.140625" customWidth="1"/>
    <col min="14" max="14" width="12.140625" customWidth="1"/>
    <col min="15" max="15" width="9.85546875" customWidth="1"/>
    <col min="16" max="16" width="14.140625" customWidth="1"/>
    <col min="17" max="17" width="10.28515625" customWidth="1"/>
    <col min="18" max="18" width="12.85546875" customWidth="1"/>
    <col min="19" max="19" width="10.140625" customWidth="1"/>
    <col min="24" max="24" width="13.85546875" customWidth="1"/>
    <col min="33" max="33" width="13.28515625" customWidth="1"/>
    <col min="34" max="34" width="9.140625" customWidth="1"/>
  </cols>
  <sheetData>
    <row r="2" spans="2:19" ht="28.5" x14ac:dyDescent="0.45">
      <c r="B2" s="26" t="s">
        <v>0</v>
      </c>
      <c r="C2" s="26"/>
      <c r="D2" s="26"/>
      <c r="E2" s="26"/>
      <c r="F2" s="26"/>
    </row>
    <row r="4" spans="2:19" x14ac:dyDescent="0.25">
      <c r="B4" s="1" t="s">
        <v>1</v>
      </c>
      <c r="D4" s="1" t="s">
        <v>1</v>
      </c>
      <c r="E4" s="2"/>
      <c r="F4" s="1" t="s">
        <v>1</v>
      </c>
      <c r="G4" s="2"/>
      <c r="H4" s="1" t="s">
        <v>1</v>
      </c>
      <c r="I4" s="2"/>
      <c r="J4" s="1" t="s">
        <v>1</v>
      </c>
    </row>
    <row r="5" spans="2:19" x14ac:dyDescent="0.25">
      <c r="B5" s="3" t="s">
        <v>2</v>
      </c>
      <c r="C5" s="4"/>
      <c r="D5" s="3" t="s">
        <v>3</v>
      </c>
      <c r="E5" s="4"/>
      <c r="F5" s="3" t="s">
        <v>4</v>
      </c>
      <c r="G5" s="4"/>
      <c r="H5" s="3" t="s">
        <v>5</v>
      </c>
      <c r="J5" s="3" t="s">
        <v>6</v>
      </c>
    </row>
    <row r="6" spans="2:19" ht="26.25" x14ac:dyDescent="0.25">
      <c r="B6" s="5">
        <f>COUNTA(TabloGorevler[Görev Adı])</f>
        <v>3</v>
      </c>
      <c r="C6" s="4"/>
      <c r="D6" s="5">
        <f>COUNTIF(TabloGorevler[Durum],"Tamamlandı")</f>
        <v>1</v>
      </c>
      <c r="E6" s="4"/>
      <c r="F6" s="5">
        <f>COUNTIF(TabloGorevler[Durum],"Devam Ediyor")</f>
        <v>0</v>
      </c>
      <c r="G6" s="4"/>
      <c r="H6" s="5">
        <f>(B6-D6)</f>
        <v>2</v>
      </c>
      <c r="J6" s="6">
        <f>D6/B6</f>
        <v>0.33333333333333331</v>
      </c>
    </row>
    <row r="8" spans="2:19" ht="15.75" x14ac:dyDescent="0.25">
      <c r="J8" s="27" t="s">
        <v>7</v>
      </c>
      <c r="K8" s="27"/>
      <c r="M8" s="27" t="s">
        <v>8</v>
      </c>
      <c r="N8" s="27"/>
      <c r="O8" s="27"/>
      <c r="P8" s="27"/>
      <c r="Q8" s="27"/>
      <c r="R8" s="27"/>
      <c r="S8" s="27"/>
    </row>
    <row r="9" spans="2:19" ht="21" x14ac:dyDescent="0.25">
      <c r="J9" s="7" t="s">
        <v>9</v>
      </c>
      <c r="K9" s="7" t="s">
        <v>10</v>
      </c>
      <c r="M9" s="1" t="s">
        <v>11</v>
      </c>
      <c r="N9" s="2"/>
      <c r="O9" s="1" t="s">
        <v>12</v>
      </c>
      <c r="P9" s="2"/>
      <c r="Q9" s="1" t="s">
        <v>13</v>
      </c>
      <c r="R9" s="2"/>
      <c r="S9" s="1" t="s">
        <v>14</v>
      </c>
    </row>
    <row r="10" spans="2:19" x14ac:dyDescent="0.25">
      <c r="J10" t="s">
        <v>15</v>
      </c>
      <c r="K10" s="8">
        <f>COUNTIF(TabloGorevler[Durum],J10)</f>
        <v>0</v>
      </c>
      <c r="M10" s="3" t="s">
        <v>16</v>
      </c>
      <c r="O10" s="3" t="s">
        <v>16</v>
      </c>
      <c r="Q10" s="3" t="s">
        <v>16</v>
      </c>
      <c r="S10" s="3" t="s">
        <v>16</v>
      </c>
    </row>
    <row r="11" spans="2:19" ht="26.25" x14ac:dyDescent="0.25">
      <c r="J11" s="9" t="s">
        <v>17</v>
      </c>
      <c r="K11" s="10">
        <f>COUNTIF(TabloGorevler[Durum],J11)</f>
        <v>0</v>
      </c>
      <c r="M11" s="5">
        <f t="array" ref="M11">SUMPRODUCT(
 (TabloGorevler[Önem Derecesi]=$M$9) *
 (TabloGorevler[Durum]=$M$10)
)</f>
        <v>0</v>
      </c>
      <c r="O11" s="5">
        <f t="array" ref="O11">SUMPRODUCT(
 (TabloGorevler[Önem Derecesi]=$O$9) *
 (TabloGorevler[Durum]=$O$10)
)</f>
        <v>1</v>
      </c>
      <c r="Q11" s="5">
        <f t="array" ref="Q11">SUMPRODUCT(
 (TabloGorevler[Önem Derecesi]=$Q$9) *
 (TabloGorevler[Durum]=$Q$10)
)</f>
        <v>0</v>
      </c>
      <c r="S11" s="5">
        <f t="array" ref="S11">SUMPRODUCT(
 (TabloGorevler[Önem Derecesi]=$S$9) *
 (TabloGorevler[Durum]=$S$10)
)</f>
        <v>0</v>
      </c>
    </row>
    <row r="12" spans="2:19" x14ac:dyDescent="0.25">
      <c r="J12" s="11" t="s">
        <v>18</v>
      </c>
      <c r="K12" s="10">
        <f>COUNTIF(TabloGorevler[Durum],J12)</f>
        <v>2</v>
      </c>
    </row>
    <row r="13" spans="2:19" x14ac:dyDescent="0.25">
      <c r="J13" s="11" t="s">
        <v>19</v>
      </c>
      <c r="K13" s="10">
        <f>COUNTIF(TabloGorevler[Durum],J13)</f>
        <v>1</v>
      </c>
      <c r="M13" s="3" t="s">
        <v>20</v>
      </c>
      <c r="O13" s="3" t="s">
        <v>20</v>
      </c>
      <c r="Q13" s="3" t="s">
        <v>20</v>
      </c>
      <c r="S13" s="3" t="s">
        <v>20</v>
      </c>
    </row>
    <row r="14" spans="2:19" ht="26.25" x14ac:dyDescent="0.25">
      <c r="J14" s="11" t="s">
        <v>21</v>
      </c>
      <c r="K14" s="10">
        <f>COUNTIF(TabloGorevler[Durum],J14)</f>
        <v>0</v>
      </c>
      <c r="M14" s="5">
        <f t="array" ref="M14">SUMPRODUCT(
 (TabloGorevler[Önem Derecesi]=$M$9) *
 (TabloGorevler[Durum]=$M$13)
)</f>
        <v>0</v>
      </c>
      <c r="O14" s="5">
        <f t="array" ref="O14">SUMPRODUCT(
 (TabloGorevler[Önem Derecesi]=$O$9) *
 (TabloGorevler[Durum]=$O$13)
)</f>
        <v>0</v>
      </c>
      <c r="Q14" s="5">
        <f t="array" ref="Q14">SUMPRODUCT(
 (TabloGorevler[Önem Derecesi]=$Q$9) *
 (TabloGorevler[Durum]=$Q$13)
)</f>
        <v>0</v>
      </c>
      <c r="S14" s="5">
        <f t="array" ref="S14">SUMPRODUCT(
 (TabloGorevler[Önem Derecesi]=$S$9) *
 (TabloGorevler[Durum]=$S$13)
)</f>
        <v>0</v>
      </c>
    </row>
    <row r="15" spans="2:19" x14ac:dyDescent="0.25">
      <c r="J15" s="11" t="s">
        <v>22</v>
      </c>
      <c r="K15" s="10">
        <f>COUNTIF(TabloGorevler[Durum],J15)</f>
        <v>0</v>
      </c>
    </row>
    <row r="16" spans="2:19" x14ac:dyDescent="0.25">
      <c r="M16" s="3" t="s">
        <v>23</v>
      </c>
      <c r="O16" s="3" t="s">
        <v>23</v>
      </c>
      <c r="Q16" s="3" t="s">
        <v>23</v>
      </c>
      <c r="S16" s="3" t="s">
        <v>23</v>
      </c>
    </row>
    <row r="17" spans="10:19" ht="26.25" x14ac:dyDescent="0.25">
      <c r="M17" s="5">
        <f t="array" ref="M17">SUMPRODUCT(
 (TabloGorevler[Önem Derecesi]=$M$9) *
 (TabloGorevler[Durum]=$M$16)
)</f>
        <v>2</v>
      </c>
      <c r="O17" s="5">
        <f t="array" ref="O17">SUMPRODUCT(
 (TabloGorevler[Önem Derecesi]=$O$9) *
 (TabloGorevler[Durum]=$O$16)
)</f>
        <v>0</v>
      </c>
      <c r="Q17" s="5">
        <f t="array" ref="Q17">SUMPRODUCT(
 (TabloGorevler[Önem Derecesi]=$Q$9) *
 (TabloGorevler[Durum]=$Q$16)
)</f>
        <v>0</v>
      </c>
      <c r="S17" s="5">
        <f t="array" ref="S17">SUMPRODUCT(
 (TabloGorevler[Önem Derecesi]=$S$9) *
 (TabloGorevler[Durum]=$S$16)
)</f>
        <v>0</v>
      </c>
    </row>
    <row r="18" spans="10:19" ht="15.75" x14ac:dyDescent="0.25">
      <c r="J18" s="28" t="s">
        <v>7</v>
      </c>
      <c r="K18" s="28"/>
    </row>
    <row r="19" spans="10:19" ht="21" x14ac:dyDescent="0.25">
      <c r="J19" s="7" t="s">
        <v>24</v>
      </c>
      <c r="K19" s="7" t="s">
        <v>10</v>
      </c>
      <c r="M19" s="3" t="s">
        <v>25</v>
      </c>
      <c r="O19" s="3" t="s">
        <v>25</v>
      </c>
      <c r="Q19" s="3" t="s">
        <v>25</v>
      </c>
      <c r="S19" s="3" t="s">
        <v>25</v>
      </c>
    </row>
    <row r="20" spans="10:19" ht="26.25" x14ac:dyDescent="0.25">
      <c r="J20" s="11" t="s">
        <v>14</v>
      </c>
      <c r="K20" s="10">
        <f>COUNTIF(TabloGorevler[Önem Derecesi],J20)</f>
        <v>0</v>
      </c>
      <c r="M20" s="5">
        <f t="array" ref="M20">SUMPRODUCT(
 (TabloGorevler[Önem Derecesi]=$M$9) *
 (TabloGorevler[Durum]=$M$19)
)</f>
        <v>0</v>
      </c>
      <c r="O20" s="5">
        <f t="array" ref="O20">SUMPRODUCT(
 (TabloGorevler[Önem Derecesi]=$O$9) *
 (TabloGorevler[Durum]=$O$19)
)</f>
        <v>0</v>
      </c>
      <c r="Q20" s="5">
        <f t="array" ref="Q20">SUMPRODUCT(
 (TabloGorevler[Önem Derecesi]=$Q$9) *
 (TabloGorevler[Durum]=$Q$19)
)</f>
        <v>0</v>
      </c>
      <c r="S20" s="5">
        <f t="array" ref="S20">SUMPRODUCT(
 (TabloGorevler[Önem Derecesi]=$S$9) *
 (TabloGorevler[Durum]=$S$19)
)</f>
        <v>0</v>
      </c>
    </row>
    <row r="21" spans="10:19" x14ac:dyDescent="0.25">
      <c r="J21" s="11" t="s">
        <v>13</v>
      </c>
      <c r="K21" s="10">
        <f>COUNTIF(TabloGorevler[Önem Derecesi],J21)</f>
        <v>0</v>
      </c>
    </row>
    <row r="22" spans="10:19" x14ac:dyDescent="0.25">
      <c r="J22" s="11" t="s">
        <v>12</v>
      </c>
      <c r="K22" s="10">
        <f>COUNTIF(TabloGorevler[Önem Derecesi],J22)</f>
        <v>1</v>
      </c>
      <c r="M22" s="3" t="s">
        <v>26</v>
      </c>
      <c r="O22" s="3" t="s">
        <v>26</v>
      </c>
      <c r="Q22" s="3" t="s">
        <v>26</v>
      </c>
      <c r="S22" s="3" t="s">
        <v>26</v>
      </c>
    </row>
    <row r="23" spans="10:19" ht="26.25" x14ac:dyDescent="0.25">
      <c r="J23" s="11" t="s">
        <v>11</v>
      </c>
      <c r="K23" s="10">
        <f>COUNTIF(TabloGorevler[Önem Derecesi],J23)</f>
        <v>2</v>
      </c>
      <c r="M23" s="5">
        <f t="array" ref="M23">SUMPRODUCT(
 (TabloGorevler[Önem Derecesi]=$M$9) *
 (TabloGorevler[Durum]=$M$22)
)</f>
        <v>0</v>
      </c>
      <c r="O23" s="5">
        <f t="array" ref="O23">SUMPRODUCT(
 (TabloGorevler[Önem Derecesi]=$O$9) *
 (TabloGorevler[Durum]=$O$22)
)</f>
        <v>0</v>
      </c>
      <c r="Q23" s="5">
        <f t="array" ref="Q23">SUMPRODUCT(
 (TabloGorevler[Önem Derecesi]=$Q$9) *
 (TabloGorevler[Durum]=$Q$22)
)</f>
        <v>0</v>
      </c>
      <c r="S23" s="5">
        <f t="array" ref="S23">SUMPRODUCT(
 (TabloGorevler[Önem Derecesi]=$S$9) *
 (TabloGorevler[Durum]=$S$22)
)</f>
        <v>0</v>
      </c>
    </row>
    <row r="25" spans="10:19" x14ac:dyDescent="0.25">
      <c r="M25" s="3" t="s">
        <v>27</v>
      </c>
      <c r="O25" s="3" t="s">
        <v>27</v>
      </c>
      <c r="Q25" s="3" t="s">
        <v>27</v>
      </c>
      <c r="S25" s="3" t="s">
        <v>27</v>
      </c>
    </row>
    <row r="26" spans="10:19" ht="26.25" x14ac:dyDescent="0.25">
      <c r="M26" s="5">
        <f t="array" ref="M26">SUMPRODUCT((TabloGorevler[Önem Derecesi]=$M$9)*(TabloGorevler[Durum]=$M$25))</f>
        <v>0</v>
      </c>
      <c r="O26" s="5">
        <f t="array" ref="O26">SUMPRODUCT((TabloGorevler[Önem Derecesi]=$O$9)*(TabloGorevler[Durum]=$O$25))</f>
        <v>0</v>
      </c>
      <c r="Q26" s="5">
        <f t="array" ref="Q26">SUMPRODUCT((TabloGorevler[Önem Derecesi]=$Q$9)*(TabloGorevler[Durum]=$Q$25))</f>
        <v>0</v>
      </c>
      <c r="S26" s="5">
        <f t="array" ref="S26">SUMPRODUCT((TabloGorevler[Önem Derecesi]=$S$9)*(TabloGorevler[Durum]=$S$25))</f>
        <v>0</v>
      </c>
    </row>
  </sheetData>
  <mergeCells count="4">
    <mergeCell ref="B2:F2"/>
    <mergeCell ref="J8:K8"/>
    <mergeCell ref="M8:S8"/>
    <mergeCell ref="J18:K18"/>
  </mergeCells>
  <pageMargins left="0.7" right="0.7" top="0.75" bottom="0.75" header="0.51181102362204689" footer="0.51181102362204689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O6"/>
  <sheetViews>
    <sheetView topLeftCell="B1" zoomScale="95" zoomScaleNormal="95" workbookViewId="0">
      <pane ySplit="1" topLeftCell="A2" activePane="bottomLeft" state="frozen"/>
      <selection activeCell="H60" sqref="H60"/>
      <selection pane="bottomLeft" activeCell="M9" sqref="M9"/>
    </sheetView>
  </sheetViews>
  <sheetFormatPr defaultColWidth="8.7109375" defaultRowHeight="20.100000000000001" customHeight="1" x14ac:dyDescent="0.25"/>
  <cols>
    <col min="1" max="1" width="5.140625" style="2" customWidth="1"/>
    <col min="2" max="2" width="12" customWidth="1"/>
    <col min="3" max="3" width="16.7109375" style="4" customWidth="1"/>
    <col min="4" max="4" width="7.85546875" customWidth="1"/>
    <col min="5" max="5" width="65.28515625" style="12" customWidth="1"/>
    <col min="6" max="6" width="28.140625" customWidth="1"/>
    <col min="7" max="7" width="13" style="4" customWidth="1"/>
    <col min="8" max="8" width="13.7109375" style="4" customWidth="1"/>
    <col min="9" max="9" width="14.140625" style="4" customWidth="1"/>
    <col min="10" max="10" width="14.7109375" style="4" customWidth="1"/>
    <col min="11" max="11" width="15.28515625" style="4" customWidth="1"/>
    <col min="12" max="12" width="17" style="4" customWidth="1"/>
    <col min="13" max="13" width="14.28515625" style="4" customWidth="1"/>
    <col min="14" max="14" width="12.7109375" style="4" customWidth="1"/>
    <col min="15" max="15" width="19" style="13" customWidth="1"/>
  </cols>
  <sheetData>
    <row r="1" spans="1:15" s="14" customFormat="1" ht="39" customHeight="1" x14ac:dyDescent="0.25">
      <c r="A1" s="15" t="s">
        <v>28</v>
      </c>
      <c r="B1" s="16" t="s">
        <v>29</v>
      </c>
      <c r="C1" s="16" t="s">
        <v>30</v>
      </c>
      <c r="D1" s="17" t="s">
        <v>31</v>
      </c>
      <c r="E1" s="16" t="s">
        <v>32</v>
      </c>
      <c r="F1" s="17" t="s">
        <v>33</v>
      </c>
      <c r="G1" s="17" t="s">
        <v>34</v>
      </c>
      <c r="H1" s="17" t="s">
        <v>35</v>
      </c>
      <c r="I1" s="16" t="s">
        <v>36</v>
      </c>
      <c r="J1" s="17" t="s">
        <v>37</v>
      </c>
      <c r="K1" s="16" t="s">
        <v>38</v>
      </c>
      <c r="L1" s="17" t="s">
        <v>39</v>
      </c>
      <c r="M1" s="17" t="s">
        <v>9</v>
      </c>
      <c r="N1" s="16" t="s">
        <v>40</v>
      </c>
      <c r="O1" s="18" t="s">
        <v>41</v>
      </c>
    </row>
    <row r="2" spans="1:15" ht="20.100000000000001" customHeight="1" x14ac:dyDescent="0.25">
      <c r="A2" s="2">
        <f t="shared" ref="A2:A4" si="0">ROW()-1</f>
        <v>1</v>
      </c>
      <c r="B2" s="4" t="s">
        <v>43</v>
      </c>
      <c r="C2" s="4" t="str">
        <f>IF(TabloGorevler[[#This Row],[Başlangıç Tarihi]]="","",ROUNDUP(MONTH(TabloGorevler[[#This Row],[Başlangıç Tarihi]])/3,0)&amp;".Dönem ("&amp;MONTH(TabloGorevler[[#This Row],[Başlangıç Tarihi]])&amp;".Ay)")</f>
        <v>1.Dönem (1.Ay)</v>
      </c>
      <c r="D2" s="4">
        <f>IF(TabloGorevler[[#This Row],[Kayıt Tarihi]]="","",YEAR(TabloGorevler[[#This Row],[Kayıt Tarihi]]))</f>
        <v>2026</v>
      </c>
      <c r="E2" s="21" t="s">
        <v>53</v>
      </c>
      <c r="F2" s="24"/>
      <c r="G2" s="4" t="s">
        <v>54</v>
      </c>
      <c r="H2" s="19">
        <v>46023</v>
      </c>
      <c r="I2" s="19">
        <v>46032</v>
      </c>
      <c r="J2" s="19">
        <v>46042</v>
      </c>
      <c r="K2" s="4" t="str">
        <f ca="1">IF(TabloGorevler[[#This Row],[Durum]]="Tamamlandı","Hedefe Ulaşıldı",IF(TabloGorevler[[#This Row],[Bitiş Tarihi]]="","",IF(INT(TabloGorevler[[#This Row],[Bitiş Tarihi]])-TODAY()&lt;0,(INT(TabloGorevler[[#This Row],[Bitiş Tarihi]])-TODAY())&amp;" Gün Gecikti",(INT(TabloGorevler[[#This Row],[Bitiş Tarihi]])-TODAY())&amp;" Gün Kaldı")))</f>
        <v>Hedefe Ulaşıldı</v>
      </c>
      <c r="L2" s="4" t="s">
        <v>12</v>
      </c>
      <c r="M2" s="4" t="s">
        <v>19</v>
      </c>
      <c r="N2" s="4">
        <v>10</v>
      </c>
      <c r="O2" s="13">
        <f>MIN(1,TabloGorevler[[#This Row],[İlerleme
Durumu]]/10)</f>
        <v>1</v>
      </c>
    </row>
    <row r="3" spans="1:15" ht="20.100000000000001" customHeight="1" x14ac:dyDescent="0.25">
      <c r="A3" s="2">
        <f t="shared" si="0"/>
        <v>2</v>
      </c>
      <c r="B3" s="4" t="s">
        <v>43</v>
      </c>
      <c r="C3" s="4" t="str">
        <f>IF(TabloGorevler[[#This Row],[Başlangıç Tarihi]]="","",ROUNDUP(MONTH(TabloGorevler[[#This Row],[Başlangıç Tarihi]])/3,0)&amp;".Dönem ("&amp;MONTH(TabloGorevler[[#This Row],[Başlangıç Tarihi]])&amp;".Ay)")</f>
        <v>4.Dönem (12.Ay)</v>
      </c>
      <c r="D3" s="4">
        <f>IF(TabloGorevler[[#This Row],[Kayıt Tarihi]]="","",YEAR(TabloGorevler[[#This Row],[Kayıt Tarihi]]))</f>
        <v>2025</v>
      </c>
      <c r="E3" s="21" t="s">
        <v>55</v>
      </c>
      <c r="F3" s="4"/>
      <c r="G3" s="4" t="s">
        <v>56</v>
      </c>
      <c r="H3" s="19">
        <v>45658</v>
      </c>
      <c r="I3" s="23">
        <v>45992</v>
      </c>
      <c r="J3" s="25">
        <v>46016</v>
      </c>
      <c r="K3" s="4" t="str">
        <f ca="1">IF(TabloGorevler[[#This Row],[Durum]]="Tamamlandı","Hedefe Ulaşıldı",IF(TabloGorevler[[#This Row],[Bitiş Tarihi]]="","",IF(INT(TabloGorevler[[#This Row],[Bitiş Tarihi]])-TODAY()&lt;0,(INT(TabloGorevler[[#This Row],[Bitiş Tarihi]])-TODAY())&amp;" Gün Gecikti",(INT(TabloGorevler[[#This Row],[Bitiş Tarihi]])-TODAY())&amp;" Gün Kaldı")))</f>
        <v>-12 Gün Gecikti</v>
      </c>
      <c r="L3" s="4" t="s">
        <v>11</v>
      </c>
      <c r="M3" s="4" t="s">
        <v>18</v>
      </c>
      <c r="N3" s="4">
        <v>8</v>
      </c>
      <c r="O3" s="13">
        <f>MIN(1,TabloGorevler[[#This Row],[İlerleme
Durumu]]/10)</f>
        <v>0.8</v>
      </c>
    </row>
    <row r="4" spans="1:15" ht="20.100000000000001" customHeight="1" x14ac:dyDescent="0.25">
      <c r="A4" s="2">
        <f t="shared" si="0"/>
        <v>3</v>
      </c>
      <c r="B4" s="4" t="s">
        <v>43</v>
      </c>
      <c r="C4" s="4" t="str">
        <f>IF(TabloGorevler[[#This Row],[Başlangıç Tarihi]]="","",ROUNDUP(MONTH(TabloGorevler[[#This Row],[Başlangıç Tarihi]])/3,0)&amp;".Dönem ("&amp;MONTH(TabloGorevler[[#This Row],[Başlangıç Tarihi]])&amp;".Ay)")</f>
        <v>4.Dönem (12.Ay)</v>
      </c>
      <c r="D4" s="4">
        <f>IF(TabloGorevler[[#This Row],[Kayıt Tarihi]]="","",YEAR(TabloGorevler[[#This Row],[Kayıt Tarihi]]))</f>
        <v>2025</v>
      </c>
      <c r="E4" s="21" t="s">
        <v>57</v>
      </c>
      <c r="F4" s="4"/>
      <c r="G4" s="4" t="s">
        <v>54</v>
      </c>
      <c r="H4" s="19">
        <v>45990</v>
      </c>
      <c r="I4" s="23">
        <v>46013</v>
      </c>
      <c r="J4" s="23">
        <v>46017</v>
      </c>
      <c r="K4" s="4" t="str">
        <f ca="1">IF(TabloGorevler[[#This Row],[Durum]]="Tamamlandı","Hedefe Ulaşıldı",IF(TabloGorevler[[#This Row],[Bitiş Tarihi]]="","",IF(INT(TabloGorevler[[#This Row],[Bitiş Tarihi]])-TODAY()&lt;0,(INT(TabloGorevler[[#This Row],[Bitiş Tarihi]])-TODAY())&amp;" Gün Gecikti",(INT(TabloGorevler[[#This Row],[Bitiş Tarihi]])-TODAY())&amp;" Gün Kaldı")))</f>
        <v>-11 Gün Gecikti</v>
      </c>
      <c r="L4" s="4" t="s">
        <v>11</v>
      </c>
      <c r="M4" s="4" t="s">
        <v>18</v>
      </c>
      <c r="N4" s="4">
        <v>3</v>
      </c>
      <c r="O4" s="13">
        <f>MIN(1,TabloGorevler[[#This Row],[İlerleme
Durumu]]/10)</f>
        <v>0.3</v>
      </c>
    </row>
    <row r="5" spans="1:15" ht="20.100000000000001" customHeight="1" x14ac:dyDescent="0.25">
      <c r="A5" s="2">
        <f>ROW()-1</f>
        <v>4</v>
      </c>
      <c r="B5" s="4"/>
      <c r="C5" s="4" t="str">
        <f>IF(TabloGorevler[[#This Row],[Başlangıç Tarihi]]="","",ROUNDUP(MONTH(TabloGorevler[[#This Row],[Başlangıç Tarihi]])/3,0)&amp;".Dönem ("&amp;MONTH(TabloGorevler[[#This Row],[Başlangıç Tarihi]])&amp;".Ay)")</f>
        <v/>
      </c>
      <c r="D5" s="4" t="str">
        <f>IF(TabloGorevler[[#This Row],[Kayıt Tarihi]]="","",YEAR(TabloGorevler[[#This Row],[Kayıt Tarihi]]))</f>
        <v/>
      </c>
      <c r="E5" s="21"/>
      <c r="F5" s="4"/>
      <c r="K5" s="4" t="str">
        <f ca="1">IF(TabloGorevler[[#This Row],[Durum]]="Tamamlandı","Hedefe Ulaşıldı",IF(TabloGorevler[[#This Row],[Bitiş Tarihi]]="","",IF(INT(TabloGorevler[[#This Row],[Bitiş Tarihi]])-TODAY()&lt;0,(INT(TabloGorevler[[#This Row],[Bitiş Tarihi]])-TODAY())&amp;" Gün Gecikti",(INT(TabloGorevler[[#This Row],[Bitiş Tarihi]])-TODAY())&amp;" Gün Kaldı")))</f>
        <v/>
      </c>
      <c r="O5" s="13">
        <f>MIN(1,TabloGorevler[[#This Row],[İlerleme
Durumu]]/10)</f>
        <v>0</v>
      </c>
    </row>
    <row r="6" spans="1:15" ht="20.100000000000001" customHeight="1" x14ac:dyDescent="0.25">
      <c r="A6" s="2">
        <f>ROW()-1</f>
        <v>5</v>
      </c>
      <c r="B6" s="4"/>
      <c r="C6" s="4" t="str">
        <f>IF(TabloGorevler[[#This Row],[Başlangıç Tarihi]]="","",ROUNDUP(MONTH(TabloGorevler[[#This Row],[Başlangıç Tarihi]])/3,0)&amp;".Dönem ("&amp;MONTH(TabloGorevler[[#This Row],[Başlangıç Tarihi]])&amp;".Ay)")</f>
        <v/>
      </c>
      <c r="D6" s="4" t="str">
        <f>IF(TabloGorevler[[#This Row],[Kayıt Tarihi]]="","",YEAR(TabloGorevler[[#This Row],[Kayıt Tarihi]]))</f>
        <v/>
      </c>
      <c r="E6" s="21"/>
      <c r="F6" s="4"/>
      <c r="K6" s="4" t="str">
        <f ca="1">IF(TabloGorevler[[#This Row],[Durum]]="Tamamlandı","Hedefe Ulaşıldı",IF(TabloGorevler[[#This Row],[Bitiş Tarihi]]="","",IF(INT(TabloGorevler[[#This Row],[Bitiş Tarihi]])-TODAY()&lt;0,(INT(TabloGorevler[[#This Row],[Bitiş Tarihi]])-TODAY())&amp;" Gün Gecikti",(INT(TabloGorevler[[#This Row],[Bitiş Tarihi]])-TODAY())&amp;" Gün Kaldı")))</f>
        <v/>
      </c>
      <c r="O6" s="13">
        <f>MIN(1,TabloGorevler[[#This Row],[İlerleme
Durumu]]/10)</f>
        <v>0</v>
      </c>
    </row>
  </sheetData>
  <conditionalFormatting sqref="K2:K6">
    <cfRule type="expression" dxfId="3" priority="7">
      <formula>AND(COUNTIF(K2,"*Gün Kaldı*")&gt;0,--LEFT(K2,FIND(" Gün",K2)-1)&lt;=5,--LEFT(K2,FIND(" Gün",K2)-1)&gt;=1)</formula>
    </cfRule>
    <cfRule type="expression" dxfId="2" priority="8">
      <formula>COUNTIF(K2,"*Gün Kaldı*")&gt;0</formula>
    </cfRule>
    <cfRule type="expression" dxfId="1" priority="9">
      <formula>COUNTIF(K2,"*Gün Gecikti*")&gt;0</formula>
    </cfRule>
    <cfRule type="expression" dxfId="0" priority="10">
      <formula>K2="Hedefe Ulaşıldı"</formula>
    </cfRule>
  </conditionalFormatting>
  <conditionalFormatting sqref="O2:O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{27468EC9-F674-4431-A54C-188EE89AF7E0}</x14:id>
        </ext>
      </extLst>
    </cfRule>
  </conditionalFormatting>
  <dataValidations count="4">
    <dataValidation type="list" allowBlank="1" showInputMessage="1" showErrorMessage="1" sqref="B2:B6" xr:uid="{0085000B-00EE-4B58-BDBB-00A8004000EC}">
      <formula1>ListeDonem</formula1>
      <formula2>0</formula2>
    </dataValidation>
    <dataValidation type="list" allowBlank="1" showInputMessage="1" showErrorMessage="1" sqref="G2:G6" xr:uid="{00FE006C-0059-4731-A465-00D600380050}">
      <formula1>ListePersonel</formula1>
      <formula2>0</formula2>
    </dataValidation>
    <dataValidation type="list" allowBlank="1" showInputMessage="1" showErrorMessage="1" sqref="L2:L6" xr:uid="{0008007D-0005-451F-B4FA-008300C30099}">
      <formula1>ListeOnem</formula1>
      <formula2>0</formula2>
    </dataValidation>
    <dataValidation type="list" allowBlank="1" showInputMessage="1" showErrorMessage="1" sqref="M2:M6" xr:uid="{001A0098-0000-43A0-B824-00F500F20042}">
      <formula1>ListeDurum</formula1>
      <formula2>0</formula2>
    </dataValidation>
  </dataValidations>
  <pageMargins left="0.7" right="0.7" top="0.75" bottom="0.75" header="0.51181102362204689" footer="0.51181102362204689"/>
  <pageSetup paperSize="9" orientation="portrait" horizontalDpi="300" verticalDpi="300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468EC9-F674-4431-A54C-188EE89AF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O2:O6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E7"/>
  <sheetViews>
    <sheetView workbookViewId="0">
      <selection activeCell="D7" sqref="D7"/>
    </sheetView>
  </sheetViews>
  <sheetFormatPr defaultColWidth="8.7109375" defaultRowHeight="15" customHeight="1" x14ac:dyDescent="0.25"/>
  <cols>
    <col min="1" max="1" width="11.5703125" customWidth="1"/>
    <col min="2" max="2" width="23.7109375" customWidth="1"/>
    <col min="3" max="3" width="14.7109375" customWidth="1"/>
    <col min="4" max="4" width="15.140625" customWidth="1"/>
    <col min="5" max="5" width="18.5703125" customWidth="1"/>
  </cols>
  <sheetData>
    <row r="1" spans="1:5" x14ac:dyDescent="0.25">
      <c r="A1" s="20" t="s">
        <v>46</v>
      </c>
      <c r="B1" s="20" t="s">
        <v>47</v>
      </c>
      <c r="C1" s="20" t="s">
        <v>39</v>
      </c>
      <c r="D1" s="20" t="s">
        <v>9</v>
      </c>
      <c r="E1" s="20" t="s">
        <v>48</v>
      </c>
    </row>
    <row r="2" spans="1:5" x14ac:dyDescent="0.25">
      <c r="A2" t="s">
        <v>43</v>
      </c>
      <c r="B2" t="s">
        <v>49</v>
      </c>
      <c r="C2" t="s">
        <v>14</v>
      </c>
      <c r="D2" t="s">
        <v>15</v>
      </c>
      <c r="E2" s="22" t="s">
        <v>54</v>
      </c>
    </row>
    <row r="3" spans="1:5" x14ac:dyDescent="0.25">
      <c r="A3" t="s">
        <v>44</v>
      </c>
      <c r="B3" t="s">
        <v>50</v>
      </c>
      <c r="C3" t="s">
        <v>13</v>
      </c>
      <c r="D3" t="s">
        <v>17</v>
      </c>
      <c r="E3" s="22" t="s">
        <v>56</v>
      </c>
    </row>
    <row r="4" spans="1:5" x14ac:dyDescent="0.25">
      <c r="A4" t="s">
        <v>45</v>
      </c>
      <c r="B4" t="s">
        <v>51</v>
      </c>
      <c r="C4" t="s">
        <v>12</v>
      </c>
      <c r="D4" t="s">
        <v>18</v>
      </c>
    </row>
    <row r="5" spans="1:5" x14ac:dyDescent="0.25">
      <c r="A5" t="s">
        <v>42</v>
      </c>
      <c r="B5" t="s">
        <v>52</v>
      </c>
      <c r="C5" t="s">
        <v>11</v>
      </c>
      <c r="D5" t="s">
        <v>19</v>
      </c>
    </row>
    <row r="6" spans="1:5" x14ac:dyDescent="0.25">
      <c r="D6" t="s">
        <v>21</v>
      </c>
    </row>
    <row r="7" spans="1:5" x14ac:dyDescent="0.25">
      <c r="D7" t="s">
        <v>22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2B05C5-977C-4B63-98F8-62DD9A2D8F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4</vt:i4>
      </vt:variant>
    </vt:vector>
  </HeadingPairs>
  <TitlesOfParts>
    <vt:vector size="7" baseType="lpstr">
      <vt:lpstr>Dashboard</vt:lpstr>
      <vt:lpstr>Görevler</vt:lpstr>
      <vt:lpstr>Ayarlar</vt:lpstr>
      <vt:lpstr>ListeDonem</vt:lpstr>
      <vt:lpstr>ListeDurum</vt:lpstr>
      <vt:lpstr>ListeOnem</vt:lpstr>
      <vt:lpstr>ListePersonel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Osman</dc:creator>
  <dc:description/>
  <cp:lastModifiedBy>Osman Yusupov</cp:lastModifiedBy>
  <cp:revision>5</cp:revision>
  <dcterms:created xsi:type="dcterms:W3CDTF">2015-06-05T18:19:34Z</dcterms:created>
  <dcterms:modified xsi:type="dcterms:W3CDTF">2026-01-06T16:16:07Z</dcterms:modified>
  <dc:language>tr-TR</dc:language>
</cp:coreProperties>
</file>